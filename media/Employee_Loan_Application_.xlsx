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650" activeTab="1"/>
  </bookViews>
  <sheets>
    <sheet name="Terms" sheetId="3" r:id="rId1"/>
    <sheet name="Loan Application" sheetId="2" r:id="rId2"/>
    <sheet name="Lookups" sheetId="4" r:id="rId3"/>
  </sheets>
  <calcPr calcId="162913"/>
</workbook>
</file>

<file path=xl/calcChain.xml><?xml version="1.0" encoding="utf-8"?>
<calcChain xmlns="http://schemas.openxmlformats.org/spreadsheetml/2006/main">
  <c r="D16" i="2" l="1"/>
  <c r="D11" i="2" l="1"/>
</calcChain>
</file>

<file path=xl/sharedStrings.xml><?xml version="1.0" encoding="utf-8"?>
<sst xmlns="http://schemas.openxmlformats.org/spreadsheetml/2006/main" count="64" uniqueCount="60">
  <si>
    <t>Date</t>
  </si>
  <si>
    <t>Filled By</t>
  </si>
  <si>
    <t>Designation</t>
  </si>
  <si>
    <t>Employee Loan Application</t>
  </si>
  <si>
    <t>Employee Information</t>
  </si>
  <si>
    <t>Full Name</t>
  </si>
  <si>
    <t>Date of Joining</t>
  </si>
  <si>
    <t>Current Salary</t>
  </si>
  <si>
    <t>Official Email</t>
  </si>
  <si>
    <t>Loan Information</t>
  </si>
  <si>
    <t>Types of loan requested</t>
  </si>
  <si>
    <t>No. of installments( for payment) </t>
  </si>
  <si>
    <t>Purpose of Loan</t>
  </si>
  <si>
    <t>Loan-Repayment Terms</t>
  </si>
  <si>
    <t>Terms &amp; Conditions</t>
  </si>
  <si>
    <t>Must be getting Providend deducted from his/her salary from last 3 months</t>
  </si>
  <si>
    <t>Loan amount cannot exceed 4x of the basic salary or 0.5 Million which ever is less.</t>
  </si>
  <si>
    <t>Post dated bank cheques must be submitted for each monthly installment right after loan has been approved</t>
  </si>
  <si>
    <t>Loan application is subject to be approved by management.</t>
  </si>
  <si>
    <t>There is a company wide loan limit of 1 Million per Quarter.</t>
  </si>
  <si>
    <t>Management's decision for prioritizing multiple loan requests will be final.</t>
  </si>
  <si>
    <t>Loan amount should be paid back in 12 equal installments. Management can extend this period for another 4 months depending on the situation.</t>
  </si>
  <si>
    <t>Number of Installments</t>
  </si>
  <si>
    <t>Monthly Amount</t>
  </si>
  <si>
    <t>Total Service</t>
  </si>
  <si>
    <t>Must have spend at least 3 Years at Kavtech working as a full-time employee</t>
  </si>
  <si>
    <t>Project Manager</t>
  </si>
  <si>
    <t>Associate Project Manager</t>
  </si>
  <si>
    <t>Loan Type</t>
  </si>
  <si>
    <t>Personal Loan</t>
  </si>
  <si>
    <t>For official Use</t>
  </si>
  <si>
    <t>Status</t>
  </si>
  <si>
    <t>Description</t>
  </si>
  <si>
    <t xml:space="preserve">Approved Amount </t>
  </si>
  <si>
    <t>Approved By</t>
  </si>
  <si>
    <t>Approval Date</t>
  </si>
  <si>
    <t>Loan Date</t>
  </si>
  <si>
    <t>Education</t>
  </si>
  <si>
    <t>Children’s education</t>
  </si>
  <si>
    <t>Holidays/Travel</t>
  </si>
  <si>
    <t>Medical expenses</t>
  </si>
  <si>
    <t>Investments</t>
  </si>
  <si>
    <t>Marriage in family</t>
  </si>
  <si>
    <t>Home Renovation</t>
  </si>
  <si>
    <t>Purchase of equipment</t>
  </si>
  <si>
    <t>Other</t>
  </si>
  <si>
    <t>Requested Amount</t>
  </si>
  <si>
    <t>Associate Officer/ Software Engineer</t>
  </si>
  <si>
    <t>Software Engineer/ Executive</t>
  </si>
  <si>
    <t>Advisory Software Engineer/ Advisory Executive</t>
  </si>
  <si>
    <t>Principal Software Engineer/ Principal Executive</t>
  </si>
  <si>
    <t>Senior Software Engineer/ Senior Executive</t>
  </si>
  <si>
    <t>Senior Manager</t>
  </si>
  <si>
    <t>Manager</t>
  </si>
  <si>
    <t>Director</t>
  </si>
  <si>
    <t>President</t>
  </si>
  <si>
    <t>Technical Project Manager</t>
  </si>
  <si>
    <t xml:space="preserve">              </t>
  </si>
  <si>
    <t xml:space="preserve">               </t>
  </si>
  <si>
    <t>Kavtech Solutions Pvt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</si>
</sst>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_);_(* \(#,##0\);_(* &quot;-&quot;??_);_(@_)"/>
    <numFmt numFmtId="165" formatCode="[$-F800]dddd\,\ mmmm\ dd\,\ yyyy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8"/>
      <color theme="0"/>
      <name val="Times New Roman"/>
      <family val="1"/>
    </font>
    <font>
      <b/>
      <sz val="11"/>
      <color theme="4" tint="-0.499984740745262"/>
      <name val="Times New Roman"/>
      <family val="1"/>
    </font>
    <font>
      <sz val="11"/>
      <color theme="0"/>
      <name val="Times New Roman"/>
      <family val="1"/>
    </font>
    <font>
      <sz val="8"/>
      <color rgb="FFFF0000"/>
      <name val="Times New Roman"/>
      <family val="1"/>
    </font>
    <font>
      <sz val="8"/>
      <color theme="1"/>
      <name val="Times New Roman"/>
      <family val="1"/>
    </font>
    <font>
      <sz val="12"/>
      <color theme="0"/>
      <name val="Times New Roman"/>
      <family val="1"/>
    </font>
    <font>
      <b/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3">
    <xf numFmtId="0" fontId="0" fillId="0" borderId="0" xfId="0"/>
    <xf numFmtId="0" fontId="2" fillId="0" borderId="0" xfId="0" applyFont="1"/>
    <xf numFmtId="0" fontId="4" fillId="0" borderId="0" xfId="0" applyFont="1" applyAlignment="1">
      <alignment vertical="center"/>
    </xf>
    <xf numFmtId="0" fontId="2" fillId="3" borderId="1" xfId="0" applyFont="1" applyFill="1" applyBorder="1"/>
    <xf numFmtId="0" fontId="2" fillId="0" borderId="0" xfId="0" applyFont="1" applyBorder="1"/>
    <xf numFmtId="0" fontId="3" fillId="5" borderId="0" xfId="0" applyFont="1" applyFill="1" applyAlignment="1">
      <alignment vertical="center"/>
    </xf>
    <xf numFmtId="0" fontId="2" fillId="5" borderId="0" xfId="0" applyFont="1" applyFill="1" applyAlignment="1">
      <alignment horizontal="left"/>
    </xf>
    <xf numFmtId="0" fontId="6" fillId="5" borderId="0" xfId="0" applyFont="1" applyFill="1" applyAlignment="1">
      <alignment horizontal="left"/>
    </xf>
    <xf numFmtId="0" fontId="7" fillId="5" borderId="0" xfId="0" applyFont="1" applyFill="1" applyAlignment="1">
      <alignment horizontal="left"/>
    </xf>
    <xf numFmtId="0" fontId="2" fillId="5" borderId="0" xfId="0" applyFont="1" applyFill="1" applyBorder="1" applyAlignment="1">
      <alignment horizontal="left"/>
    </xf>
    <xf numFmtId="0" fontId="2" fillId="5" borderId="0" xfId="0" applyFont="1" applyFill="1"/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top"/>
    </xf>
    <xf numFmtId="0" fontId="8" fillId="2" borderId="5" xfId="0" applyFont="1" applyFill="1" applyBorder="1" applyAlignment="1">
      <alignment horizontal="center" vertical="top"/>
    </xf>
    <xf numFmtId="0" fontId="2" fillId="0" borderId="4" xfId="0" applyFont="1" applyBorder="1"/>
    <xf numFmtId="0" fontId="2" fillId="0" borderId="6" xfId="0" applyFont="1" applyBorder="1"/>
    <xf numFmtId="14" fontId="2" fillId="0" borderId="7" xfId="0" applyNumberFormat="1" applyFont="1" applyBorder="1" applyAlignment="1">
      <alignment horizontal="left"/>
    </xf>
    <xf numFmtId="0" fontId="2" fillId="0" borderId="5" xfId="0" applyFont="1" applyBorder="1"/>
    <xf numFmtId="0" fontId="5" fillId="2" borderId="8" xfId="0" applyFont="1" applyFill="1" applyBorder="1" applyAlignment="1">
      <alignment horizontal="left"/>
    </xf>
    <xf numFmtId="0" fontId="5" fillId="2" borderId="7" xfId="0" applyFont="1" applyFill="1" applyBorder="1" applyAlignment="1">
      <alignment horizontal="left"/>
    </xf>
    <xf numFmtId="0" fontId="2" fillId="3" borderId="9" xfId="0" applyFont="1" applyFill="1" applyBorder="1"/>
    <xf numFmtId="0" fontId="2" fillId="4" borderId="10" xfId="0" applyFont="1" applyFill="1" applyBorder="1" applyAlignment="1">
      <alignment horizontal="left"/>
    </xf>
    <xf numFmtId="165" fontId="2" fillId="4" borderId="10" xfId="0" applyNumberFormat="1" applyFont="1" applyFill="1" applyBorder="1" applyAlignment="1">
      <alignment horizontal="left"/>
    </xf>
    <xf numFmtId="2" fontId="2" fillId="4" borderId="10" xfId="0" applyNumberFormat="1" applyFont="1" applyFill="1" applyBorder="1" applyAlignment="1">
      <alignment horizontal="left"/>
    </xf>
    <xf numFmtId="164" fontId="2" fillId="4" borderId="10" xfId="1" applyNumberFormat="1" applyFont="1" applyFill="1" applyBorder="1" applyAlignment="1">
      <alignment horizontal="left"/>
    </xf>
    <xf numFmtId="43" fontId="2" fillId="3" borderId="10" xfId="1" applyNumberFormat="1" applyFont="1" applyFill="1" applyBorder="1" applyAlignment="1">
      <alignment horizontal="left"/>
    </xf>
    <xf numFmtId="0" fontId="2" fillId="4" borderId="11" xfId="0" applyFont="1" applyFill="1" applyBorder="1" applyAlignment="1">
      <alignment horizontal="left"/>
    </xf>
    <xf numFmtId="14" fontId="2" fillId="4" borderId="11" xfId="0" applyNumberFormat="1" applyFont="1" applyFill="1" applyBorder="1" applyAlignment="1">
      <alignment horizontal="left"/>
    </xf>
    <xf numFmtId="0" fontId="2" fillId="3" borderId="12" xfId="0" applyFont="1" applyFill="1" applyBorder="1" applyAlignment="1">
      <alignment vertical="center"/>
    </xf>
    <xf numFmtId="0" fontId="2" fillId="4" borderId="13" xfId="0" applyFont="1" applyFill="1" applyBorder="1" applyAlignment="1">
      <alignment vertical="center" wrapText="1"/>
    </xf>
    <xf numFmtId="0" fontId="9" fillId="3" borderId="0" xfId="0" applyFont="1" applyFill="1"/>
    <xf numFmtId="0" fontId="2" fillId="4" borderId="0" xfId="0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selection activeCell="B20" sqref="B20"/>
    </sheetView>
  </sheetViews>
  <sheetFormatPr defaultRowHeight="15" x14ac:dyDescent="0.25"/>
  <cols>
    <col min="1" max="1" width="18.5703125" style="1" bestFit="1" customWidth="1"/>
    <col min="2" max="2" width="132.7109375" style="1" bestFit="1" customWidth="1"/>
    <col min="3" max="16384" width="9.140625" style="1"/>
  </cols>
  <sheetData>
    <row r="1" spans="1:2" x14ac:dyDescent="0.25">
      <c r="A1" s="1" t="s">
        <v>14</v>
      </c>
    </row>
    <row r="2" spans="1:2" x14ac:dyDescent="0.25">
      <c r="B2" s="1" t="s">
        <v>25</v>
      </c>
    </row>
    <row r="3" spans="1:2" x14ac:dyDescent="0.25">
      <c r="B3" s="1" t="s">
        <v>15</v>
      </c>
    </row>
    <row r="4" spans="1:2" x14ac:dyDescent="0.25">
      <c r="B4" s="1" t="s">
        <v>16</v>
      </c>
    </row>
    <row r="5" spans="1:2" x14ac:dyDescent="0.25">
      <c r="B5" s="1" t="s">
        <v>21</v>
      </c>
    </row>
    <row r="6" spans="1:2" x14ac:dyDescent="0.25">
      <c r="B6" s="1" t="s">
        <v>17</v>
      </c>
    </row>
    <row r="7" spans="1:2" x14ac:dyDescent="0.25">
      <c r="B7" s="1" t="s">
        <v>18</v>
      </c>
    </row>
    <row r="8" spans="1:2" x14ac:dyDescent="0.25">
      <c r="B8" s="1" t="s">
        <v>19</v>
      </c>
    </row>
    <row r="9" spans="1:2" x14ac:dyDescent="0.25">
      <c r="B9" s="1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tabSelected="1" zoomScale="115" zoomScaleNormal="115" workbookViewId="0">
      <selection activeCell="D12" sqref="D12"/>
    </sheetView>
  </sheetViews>
  <sheetFormatPr defaultColWidth="9.140625" defaultRowHeight="15" x14ac:dyDescent="0.25"/>
  <cols>
    <col min="1" max="1" width="9.140625" style="10"/>
    <col min="2" max="2" width="37.7109375" style="1" customWidth="1"/>
    <col min="3" max="3" width="35.85546875" style="1" customWidth="1"/>
    <col min="4" max="4" width="30.7109375" style="6" customWidth="1"/>
    <col min="5" max="5" width="22.7109375" style="1" bestFit="1" customWidth="1"/>
    <col min="6" max="6" width="30.7109375" style="1" bestFit="1" customWidth="1"/>
    <col min="7" max="7" width="13.140625" style="1" bestFit="1" customWidth="1"/>
    <col min="8" max="16384" width="9.140625" style="1"/>
  </cols>
  <sheetData>
    <row r="1" spans="2:5" ht="33.75" customHeight="1" x14ac:dyDescent="0.25">
      <c r="B1" s="11" t="s">
        <v>59</v>
      </c>
      <c r="C1" s="12"/>
      <c r="D1" s="5"/>
      <c r="E1" s="2"/>
    </row>
    <row r="2" spans="2:5" ht="30.75" customHeight="1" x14ac:dyDescent="0.25">
      <c r="B2" s="13" t="s">
        <v>3</v>
      </c>
      <c r="C2" s="14"/>
    </row>
    <row r="3" spans="2:5" x14ac:dyDescent="0.25">
      <c r="B3" s="15" t="s">
        <v>1</v>
      </c>
      <c r="C3" s="16" t="s">
        <v>57</v>
      </c>
    </row>
    <row r="4" spans="2:5" x14ac:dyDescent="0.25">
      <c r="B4" s="15" t="s">
        <v>0</v>
      </c>
      <c r="C4" s="17" t="s">
        <v>58</v>
      </c>
    </row>
    <row r="5" spans="2:5" x14ac:dyDescent="0.25">
      <c r="B5" s="15"/>
      <c r="C5" s="18"/>
    </row>
    <row r="6" spans="2:5" x14ac:dyDescent="0.25">
      <c r="B6" s="19" t="s">
        <v>4</v>
      </c>
      <c r="C6" s="20"/>
    </row>
    <row r="7" spans="2:5" x14ac:dyDescent="0.25">
      <c r="B7" s="21" t="s">
        <v>5</v>
      </c>
      <c r="C7" s="22"/>
    </row>
    <row r="8" spans="2:5" x14ac:dyDescent="0.25">
      <c r="B8" s="21" t="s">
        <v>8</v>
      </c>
      <c r="C8" s="22"/>
    </row>
    <row r="9" spans="2:5" x14ac:dyDescent="0.25">
      <c r="B9" s="21" t="s">
        <v>2</v>
      </c>
      <c r="C9" s="22"/>
    </row>
    <row r="10" spans="2:5" x14ac:dyDescent="0.25">
      <c r="B10" s="21" t="s">
        <v>6</v>
      </c>
      <c r="C10" s="23"/>
    </row>
    <row r="11" spans="2:5" x14ac:dyDescent="0.25">
      <c r="B11" s="21" t="s">
        <v>24</v>
      </c>
      <c r="C11" s="24"/>
      <c r="D11" s="7" t="str">
        <f ca="1">IF(DATEDIF(C10, TODAY(), "M")/12&lt;3, "Min. Service period should be 3 Yrs", "")</f>
        <v/>
      </c>
    </row>
    <row r="12" spans="2:5" x14ac:dyDescent="0.25">
      <c r="B12" s="21" t="s">
        <v>7</v>
      </c>
      <c r="C12" s="25"/>
    </row>
    <row r="13" spans="2:5" x14ac:dyDescent="0.25">
      <c r="B13" s="15"/>
      <c r="C13" s="18"/>
    </row>
    <row r="14" spans="2:5" x14ac:dyDescent="0.25">
      <c r="B14" s="19" t="s">
        <v>9</v>
      </c>
      <c r="C14" s="20"/>
    </row>
    <row r="15" spans="2:5" x14ac:dyDescent="0.25">
      <c r="B15" s="21" t="s">
        <v>10</v>
      </c>
      <c r="C15" s="23"/>
      <c r="D15" s="8"/>
    </row>
    <row r="16" spans="2:5" x14ac:dyDescent="0.25">
      <c r="B16" s="21" t="s">
        <v>46</v>
      </c>
      <c r="C16" s="25"/>
      <c r="D16" s="8" t="str">
        <f>"Max Amount: " &amp;  IF(C12*4&lt;=500000, C12*4, 500000)</f>
        <v>Max Amount: 0</v>
      </c>
    </row>
    <row r="17" spans="2:5" x14ac:dyDescent="0.25">
      <c r="B17" s="21" t="s">
        <v>12</v>
      </c>
      <c r="C17" s="23"/>
    </row>
    <row r="18" spans="2:5" x14ac:dyDescent="0.25">
      <c r="B18" s="21" t="s">
        <v>32</v>
      </c>
      <c r="C18" s="23"/>
    </row>
    <row r="19" spans="2:5" x14ac:dyDescent="0.25">
      <c r="B19" s="21" t="s">
        <v>36</v>
      </c>
      <c r="C19" s="23"/>
    </row>
    <row r="20" spans="2:5" x14ac:dyDescent="0.25">
      <c r="B20" s="15"/>
      <c r="C20" s="18"/>
    </row>
    <row r="21" spans="2:5" x14ac:dyDescent="0.25">
      <c r="B21" s="19" t="s">
        <v>13</v>
      </c>
      <c r="C21" s="20"/>
    </row>
    <row r="22" spans="2:5" x14ac:dyDescent="0.25">
      <c r="B22" s="21" t="s">
        <v>22</v>
      </c>
      <c r="C22" s="22"/>
    </row>
    <row r="23" spans="2:5" x14ac:dyDescent="0.25">
      <c r="B23" s="21" t="s">
        <v>23</v>
      </c>
      <c r="C23" s="26"/>
    </row>
    <row r="24" spans="2:5" x14ac:dyDescent="0.25">
      <c r="B24" s="15"/>
      <c r="C24" s="18"/>
    </row>
    <row r="25" spans="2:5" x14ac:dyDescent="0.25">
      <c r="B25" s="19" t="s">
        <v>30</v>
      </c>
      <c r="C25" s="20"/>
    </row>
    <row r="26" spans="2:5" x14ac:dyDescent="0.25">
      <c r="B26" s="21" t="s">
        <v>31</v>
      </c>
      <c r="C26" s="27"/>
    </row>
    <row r="27" spans="2:5" x14ac:dyDescent="0.25">
      <c r="B27" s="21" t="s">
        <v>34</v>
      </c>
      <c r="C27" s="27"/>
    </row>
    <row r="28" spans="2:5" x14ac:dyDescent="0.25">
      <c r="B28" s="21" t="s">
        <v>35</v>
      </c>
      <c r="C28" s="28"/>
    </row>
    <row r="29" spans="2:5" x14ac:dyDescent="0.25">
      <c r="B29" s="21" t="s">
        <v>33</v>
      </c>
      <c r="C29" s="27"/>
    </row>
    <row r="30" spans="2:5" x14ac:dyDescent="0.25">
      <c r="B30" s="21" t="s">
        <v>11</v>
      </c>
      <c r="C30" s="27"/>
      <c r="D30" s="9"/>
      <c r="E30" s="4"/>
    </row>
    <row r="31" spans="2:5" ht="60" customHeight="1" thickBot="1" x14ac:dyDescent="0.3">
      <c r="B31" s="29" t="s">
        <v>32</v>
      </c>
      <c r="C31" s="30"/>
      <c r="D31" s="10"/>
    </row>
    <row r="32" spans="2:5" x14ac:dyDescent="0.25">
      <c r="B32" s="10"/>
      <c r="C32" s="10"/>
    </row>
    <row r="33" spans="2:3" x14ac:dyDescent="0.25">
      <c r="B33" s="10"/>
      <c r="C33" s="10"/>
    </row>
    <row r="34" spans="2:3" x14ac:dyDescent="0.25">
      <c r="B34" s="10"/>
      <c r="C34" s="10"/>
    </row>
    <row r="35" spans="2:3" x14ac:dyDescent="0.25">
      <c r="B35" s="10"/>
      <c r="C35" s="10"/>
    </row>
    <row r="36" spans="2:3" x14ac:dyDescent="0.25">
      <c r="B36" s="10"/>
      <c r="C36" s="10"/>
    </row>
    <row r="37" spans="2:3" x14ac:dyDescent="0.25">
      <c r="B37" s="10"/>
      <c r="C37" s="10"/>
    </row>
    <row r="38" spans="2:3" x14ac:dyDescent="0.25">
      <c r="B38" s="10"/>
      <c r="C38" s="10"/>
    </row>
  </sheetData>
  <mergeCells count="6">
    <mergeCell ref="B1:C1"/>
    <mergeCell ref="B2:C2"/>
    <mergeCell ref="B21:C21"/>
    <mergeCell ref="B25:C25"/>
    <mergeCell ref="B6:C6"/>
    <mergeCell ref="B14:C14"/>
  </mergeCells>
  <dataValidations count="2">
    <dataValidation type="decimal" operator="lessThanOrEqual" allowBlank="1" showInputMessage="1" showErrorMessage="1" sqref="C16">
      <formula1>IF(C12*4&lt;=500000, C12*4, 500000)</formula1>
    </dataValidation>
    <dataValidation type="date" operator="greaterThan" allowBlank="1" showInputMessage="1" showErrorMessage="1" sqref="C10">
      <formula1>41640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Lookups!$E$2</xm:f>
          </x14:formula1>
          <xm:sqref>C15</xm:sqref>
        </x14:dataValidation>
        <x14:dataValidation type="list" allowBlank="1" showInputMessage="1" showErrorMessage="1">
          <x14:formula1>
            <xm:f>Lookups!$G$2:$G$10</xm:f>
          </x14:formula1>
          <xm:sqref>C17</xm:sqref>
        </x14:dataValidation>
        <x14:dataValidation type="list" allowBlank="1" showInputMessage="1" showErrorMessage="1">
          <x14:formula1>
            <xm:f>Lookups!$A$2:$A$7</xm:f>
          </x14:formula1>
          <xm:sqref>C22</xm:sqref>
        </x14:dataValidation>
        <x14:dataValidation type="list" allowBlank="1" showInputMessage="1" showErrorMessage="1">
          <x14:formula1>
            <xm:f>Lookups!$C$2:$C$13</xm:f>
          </x14:formula1>
          <xm:sqref>C9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workbookViewId="0">
      <selection activeCell="A14" sqref="A14"/>
    </sheetView>
  </sheetViews>
  <sheetFormatPr defaultRowHeight="15" x14ac:dyDescent="0.25"/>
  <cols>
    <col min="1" max="1" width="30" style="1" bestFit="1" customWidth="1"/>
    <col min="2" max="2" width="9.140625" style="1"/>
    <col min="3" max="3" width="44.5703125" style="1" bestFit="1" customWidth="1"/>
    <col min="4" max="4" width="9.140625" style="1"/>
    <col min="5" max="5" width="23.85546875" style="1" customWidth="1"/>
    <col min="6" max="6" width="9.140625" style="1"/>
    <col min="7" max="7" width="22" style="1" bestFit="1" customWidth="1"/>
    <col min="8" max="16384" width="9.140625" style="1"/>
  </cols>
  <sheetData>
    <row r="1" spans="1:7" x14ac:dyDescent="0.25">
      <c r="A1" s="3" t="s">
        <v>22</v>
      </c>
      <c r="C1" s="31" t="s">
        <v>2</v>
      </c>
      <c r="E1" s="31" t="s">
        <v>28</v>
      </c>
      <c r="G1" s="31" t="s">
        <v>12</v>
      </c>
    </row>
    <row r="2" spans="1:7" x14ac:dyDescent="0.25">
      <c r="A2" s="1">
        <v>4</v>
      </c>
      <c r="C2" s="32" t="s">
        <v>47</v>
      </c>
      <c r="E2" s="32" t="s">
        <v>29</v>
      </c>
      <c r="G2" s="32" t="s">
        <v>37</v>
      </c>
    </row>
    <row r="3" spans="1:7" x14ac:dyDescent="0.25">
      <c r="A3" s="1">
        <v>6</v>
      </c>
      <c r="C3" s="32" t="s">
        <v>48</v>
      </c>
      <c r="G3" s="32" t="s">
        <v>38</v>
      </c>
    </row>
    <row r="4" spans="1:7" x14ac:dyDescent="0.25">
      <c r="A4" s="1">
        <v>8</v>
      </c>
      <c r="C4" s="32" t="s">
        <v>51</v>
      </c>
      <c r="G4" s="32" t="s">
        <v>39</v>
      </c>
    </row>
    <row r="5" spans="1:7" x14ac:dyDescent="0.25">
      <c r="A5" s="1">
        <v>10</v>
      </c>
      <c r="C5" s="32" t="s">
        <v>50</v>
      </c>
      <c r="G5" s="32" t="s">
        <v>40</v>
      </c>
    </row>
    <row r="6" spans="1:7" x14ac:dyDescent="0.25">
      <c r="A6" s="1">
        <v>12</v>
      </c>
      <c r="C6" s="32" t="s">
        <v>49</v>
      </c>
      <c r="G6" s="32" t="s">
        <v>41</v>
      </c>
    </row>
    <row r="7" spans="1:7" x14ac:dyDescent="0.25">
      <c r="A7" s="1">
        <v>18</v>
      </c>
      <c r="C7" s="32" t="s">
        <v>27</v>
      </c>
      <c r="G7" s="32" t="s">
        <v>42</v>
      </c>
    </row>
    <row r="8" spans="1:7" x14ac:dyDescent="0.25">
      <c r="C8" s="32" t="s">
        <v>26</v>
      </c>
      <c r="G8" s="32" t="s">
        <v>43</v>
      </c>
    </row>
    <row r="9" spans="1:7" x14ac:dyDescent="0.25">
      <c r="C9" s="32" t="s">
        <v>56</v>
      </c>
      <c r="G9" s="32" t="s">
        <v>44</v>
      </c>
    </row>
    <row r="10" spans="1:7" x14ac:dyDescent="0.25">
      <c r="C10" s="32" t="s">
        <v>53</v>
      </c>
      <c r="G10" s="32" t="s">
        <v>45</v>
      </c>
    </row>
    <row r="11" spans="1:7" x14ac:dyDescent="0.25">
      <c r="C11" s="32" t="s">
        <v>52</v>
      </c>
    </row>
    <row r="12" spans="1:7" x14ac:dyDescent="0.25">
      <c r="C12" s="32" t="s">
        <v>54</v>
      </c>
    </row>
    <row r="13" spans="1:7" x14ac:dyDescent="0.25">
      <c r="C13" s="32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Terms</vt:lpstr>
      <vt:lpstr>Loan Application</vt:lpstr>
      <vt:lpstr>Lookups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2023-05-05T12:45:24Z</dcterms:modified>
</cp:coreProperties>
</file>